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itesh\StockLedger\"/>
    </mc:Choice>
  </mc:AlternateContent>
  <xr:revisionPtr revIDLastSave="0" documentId="13_ncr:1_{384C0E37-2A1B-49FA-87BE-D0DBC98367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8" i="1" l="1"/>
  <c r="C28" i="1"/>
  <c r="C16" i="1"/>
  <c r="C116" i="1"/>
  <c r="C114" i="1"/>
  <c r="C124" i="1"/>
  <c r="C122" i="1"/>
  <c r="C110" i="1"/>
  <c r="C109" i="1"/>
  <c r="C106" i="1"/>
  <c r="C102" i="1" l="1"/>
  <c r="C99" i="1"/>
  <c r="C94" i="1"/>
  <c r="C93" i="1"/>
  <c r="C92" i="1"/>
  <c r="C91" i="1"/>
  <c r="C89" i="1"/>
  <c r="C86" i="1"/>
  <c r="C84" i="1"/>
  <c r="C83" i="1"/>
  <c r="C82" i="1"/>
  <c r="C81" i="1"/>
  <c r="C80" i="1"/>
  <c r="C77" i="1"/>
  <c r="C76" i="1"/>
  <c r="C75" i="1"/>
  <c r="C74" i="1"/>
  <c r="C73" i="1"/>
  <c r="C65" i="1"/>
  <c r="C64" i="1"/>
  <c r="C63" i="1"/>
  <c r="C62" i="1"/>
  <c r="C61" i="1"/>
  <c r="C60" i="1"/>
  <c r="C57" i="1"/>
  <c r="C55" i="1"/>
  <c r="C54" i="1"/>
  <c r="C53" i="1"/>
  <c r="C52" i="1"/>
  <c r="C32" i="1"/>
  <c r="C31" i="1"/>
  <c r="C8" i="1"/>
  <c r="C7" i="1"/>
</calcChain>
</file>

<file path=xl/sharedStrings.xml><?xml version="1.0" encoding="utf-8"?>
<sst xmlns="http://schemas.openxmlformats.org/spreadsheetml/2006/main" count="125" uniqueCount="71">
  <si>
    <t>S.NO</t>
  </si>
  <si>
    <t>Items</t>
  </si>
  <si>
    <t>Total</t>
  </si>
  <si>
    <t>Tastino Basil seeds 360ml</t>
  </si>
  <si>
    <t>Orange</t>
  </si>
  <si>
    <t>Mixed Fruit</t>
  </si>
  <si>
    <t>Strawberry</t>
  </si>
  <si>
    <t>Lychee</t>
  </si>
  <si>
    <t>Blueberry</t>
  </si>
  <si>
    <t>Mango</t>
  </si>
  <si>
    <t>Passion Fruits</t>
  </si>
  <si>
    <t>Kiwi</t>
  </si>
  <si>
    <t>Tastino Fruit Juice 250ml</t>
  </si>
  <si>
    <t>Red Grapes</t>
  </si>
  <si>
    <t>Watermelon</t>
  </si>
  <si>
    <t>Tastino Coconut Water 330ml</t>
  </si>
  <si>
    <t>Tastino Digestive 157.50gm</t>
  </si>
  <si>
    <t>Canberry</t>
  </si>
  <si>
    <t>Original</t>
  </si>
  <si>
    <t>Black Current</t>
  </si>
  <si>
    <t>Tastino Wafer Cube 90gm</t>
  </si>
  <si>
    <t>Hazelnut</t>
  </si>
  <si>
    <t>Vanila</t>
  </si>
  <si>
    <t>Cocoa</t>
  </si>
  <si>
    <t>Lemon</t>
  </si>
  <si>
    <t>Omeli Donats 150gm</t>
  </si>
  <si>
    <t>Omeli Donats 300gm</t>
  </si>
  <si>
    <t>Banana</t>
  </si>
  <si>
    <t xml:space="preserve"> </t>
  </si>
  <si>
    <t>WANA BOBA Bubble 250ml</t>
  </si>
  <si>
    <t>Peach</t>
  </si>
  <si>
    <t>Pineapple</t>
  </si>
  <si>
    <t>Nawon Boba Queen 330ml</t>
  </si>
  <si>
    <t>Nawon Fruit Juice 330ml</t>
  </si>
  <si>
    <t>Mix Fruit</t>
  </si>
  <si>
    <t>IKO Crackers</t>
  </si>
  <si>
    <t>Spicy Topokki</t>
  </si>
  <si>
    <t>Smoky BBQ</t>
  </si>
  <si>
    <t>Veggie Seaweed</t>
  </si>
  <si>
    <t>Chocolate</t>
  </si>
  <si>
    <t>Swrawberry</t>
  </si>
  <si>
    <t>Cookies/Cream</t>
  </si>
  <si>
    <t>Hazelnuts</t>
  </si>
  <si>
    <t>WC Luxury Cream Wafers 300gm</t>
  </si>
  <si>
    <t>WC Luxury Cream Wafers 100gm</t>
  </si>
  <si>
    <t>WC Cookies 400gm</t>
  </si>
  <si>
    <t>Chocolate Chips Butter Cookies</t>
  </si>
  <si>
    <t>Butter Cookies</t>
  </si>
  <si>
    <t>WC Cookies 105gm</t>
  </si>
  <si>
    <t>Butter Ring Cookies</t>
  </si>
  <si>
    <t>Chocolate Mini Rolls 240gm</t>
  </si>
  <si>
    <t>Hazelnut Mini Rolls 240gm</t>
  </si>
  <si>
    <t>WC Digestive BISCUITS 144 GM</t>
  </si>
  <si>
    <t>Cranberry</t>
  </si>
  <si>
    <t>WC Digestive BISCUITS 288 GM</t>
  </si>
  <si>
    <t>Uglobe Basil Seeds 300ml</t>
  </si>
  <si>
    <t>Pink Guava</t>
  </si>
  <si>
    <t>Pink GUAVA</t>
  </si>
  <si>
    <t>Butter Ring Cookies BLUE (114 GM )</t>
  </si>
  <si>
    <t>Torto mini's 100gm</t>
  </si>
  <si>
    <t xml:space="preserve">Hazelnuts </t>
  </si>
  <si>
    <t>vanilla</t>
  </si>
  <si>
    <t>chocolate</t>
  </si>
  <si>
    <t>WC Wafer Cube's 90gm</t>
  </si>
  <si>
    <t>Crakers 300 gm</t>
  </si>
  <si>
    <t xml:space="preserve">Lemon Cream </t>
  </si>
  <si>
    <t>Cheese Sandwich 190gm (Bellie)</t>
  </si>
  <si>
    <t>Cream Sandwich</t>
  </si>
  <si>
    <t>WC Wafer Cube 200gm</t>
  </si>
  <si>
    <t>Vanilla</t>
  </si>
  <si>
    <t>Vinut Fruit Juice 300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</si>
</sst>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7"/>
  <sheetViews>
    <sheetView tabSelected="1" topLeftCell="A156" workbookViewId="0">
      <selection activeCell="C13" sqref="C13"/>
    </sheetView>
  </sheetViews>
  <sheetFormatPr defaultRowHeight="14.4" x14ac:dyDescent="0.3"/>
  <cols>
    <col min="1" max="1" width="5.88671875" bestFit="1" customWidth="1"/>
    <col min="2" max="2" width="46.109375" bestFit="1" customWidth="1"/>
    <col min="3" max="3" width="24.33203125" customWidth="1"/>
  </cols>
  <sheetData>
    <row r="1" spans="1:4" ht="15.6" x14ac:dyDescent="0.3">
      <c r="A1" s="1" t="s">
        <v>0</v>
      </c>
      <c r="B1" s="1" t="s">
        <v>1</v>
      </c>
      <c r="C1" s="1" t="s">
        <v>2</v>
      </c>
    </row>
    <row r="2" spans="1:4" ht="18" x14ac:dyDescent="0.3">
      <c r="A2" s="3" t="s">
        <v>28</v>
      </c>
      <c r="B2" s="4" t="s">
        <v>3</v>
      </c>
      <c r="C2" s="5"/>
    </row>
    <row r="3" spans="1:4" s="2" customFormat="1" x14ac:dyDescent="0.3">
      <c r="A3" s="6">
        <v>1</v>
      </c>
      <c r="B3" s="7" t="s">
        <v>4</v>
      </c>
      <c r="C3" s="7">
        <v>65</v>
      </c>
      <c r="D3" s="2" t="s">
        <v>28</v>
      </c>
    </row>
    <row r="4" spans="1:4" s="2" customFormat="1" x14ac:dyDescent="0.3">
      <c r="A4" s="6">
        <v>2</v>
      </c>
      <c r="B4" s="7" t="s">
        <v>5</v>
      </c>
      <c r="C4" s="7">
        <v>98</v>
      </c>
      <c r="D4" s="2" t="s">
        <v>28</v>
      </c>
    </row>
    <row r="5" spans="1:4" s="2" customFormat="1" x14ac:dyDescent="0.3">
      <c r="A5" s="6">
        <v>3</v>
      </c>
      <c r="B5" s="7" t="s">
        <v>7</v>
      </c>
      <c r="C5" s="7">
        <v>5</v>
      </c>
      <c r="D5" s="2" t="s">
        <v>28</v>
      </c>
    </row>
    <row r="6" spans="1:4" s="2" customFormat="1" x14ac:dyDescent="0.3">
      <c r="A6" s="6">
        <v>4</v>
      </c>
      <c r="B6" s="7" t="s">
        <v>6</v>
      </c>
      <c r="C6" s="7">
        <v>7</v>
      </c>
      <c r="D6" s="2" t="s">
        <v>28</v>
      </c>
    </row>
    <row r="7" spans="1:4" s="2" customFormat="1" x14ac:dyDescent="0.3">
      <c r="A7" s="6">
        <v>5</v>
      </c>
      <c r="B7" s="7" t="s">
        <v>8</v>
      </c>
      <c r="C7" s="7">
        <f>72+56+14</f>
        <v>142</v>
      </c>
      <c r="D7" s="2" t="s">
        <v>28</v>
      </c>
    </row>
    <row r="8" spans="1:4" s="2" customFormat="1" x14ac:dyDescent="0.3">
      <c r="A8" s="6">
        <v>6</v>
      </c>
      <c r="B8" s="7" t="s">
        <v>9</v>
      </c>
      <c r="C8" s="7">
        <f>112+20</f>
        <v>132</v>
      </c>
      <c r="D8" s="2" t="s">
        <v>28</v>
      </c>
    </row>
    <row r="9" spans="1:4" s="2" customFormat="1" x14ac:dyDescent="0.3">
      <c r="A9" s="6">
        <v>7</v>
      </c>
      <c r="B9" s="7" t="s">
        <v>10</v>
      </c>
      <c r="C9" s="7">
        <v>22</v>
      </c>
      <c r="D9" s="2" t="s">
        <v>28</v>
      </c>
    </row>
    <row r="10" spans="1:4" s="2" customFormat="1" x14ac:dyDescent="0.3">
      <c r="A10" s="6">
        <v>8</v>
      </c>
      <c r="B10" s="7" t="s">
        <v>11</v>
      </c>
      <c r="C10" s="7">
        <v>28</v>
      </c>
      <c r="D10" s="2" t="s">
        <v>28</v>
      </c>
    </row>
    <row r="11" spans="1:4" s="2" customFormat="1" x14ac:dyDescent="0.3">
      <c r="A11" s="6"/>
      <c r="B11" s="7"/>
      <c r="C11" s="7"/>
      <c r="D11" s="2" t="s">
        <v>28</v>
      </c>
    </row>
    <row r="12" spans="1:4" s="2" customFormat="1" ht="18" x14ac:dyDescent="0.3">
      <c r="A12" s="6"/>
      <c r="B12" s="4"/>
      <c r="C12" s="7"/>
    </row>
    <row r="13" spans="1:4" s="2" customFormat="1" x14ac:dyDescent="0.3">
      <c r="A13" s="6"/>
      <c r="B13" s="7" t="s">
        <v>6</v>
      </c>
      <c r="C13" s="7">
        <v>2</v>
      </c>
    </row>
    <row r="14" spans="1:4" s="2" customFormat="1" x14ac:dyDescent="0.3">
      <c r="A14" s="6"/>
      <c r="B14" s="7" t="s">
        <v>8</v>
      </c>
      <c r="C14" s="7">
        <v>9</v>
      </c>
    </row>
    <row r="15" spans="1:4" s="2" customFormat="1" x14ac:dyDescent="0.3">
      <c r="A15" s="6"/>
      <c r="B15" s="7" t="s">
        <v>4</v>
      </c>
      <c r="C15" s="7">
        <v>3</v>
      </c>
    </row>
    <row r="16" spans="1:4" s="2" customFormat="1" x14ac:dyDescent="0.3">
      <c r="A16" s="6"/>
      <c r="B16" s="7" t="s">
        <v>9</v>
      </c>
      <c r="C16" s="7">
        <f>68+6</f>
        <v>74</v>
      </c>
    </row>
    <row r="17" spans="1:3" x14ac:dyDescent="0.3">
      <c r="A17" s="3" t="s">
        <v>28</v>
      </c>
      <c r="B17" s="5" t="s">
        <v>11</v>
      </c>
      <c r="C17" s="5">
        <v>42</v>
      </c>
    </row>
    <row r="18" spans="1:3" ht="18" x14ac:dyDescent="0.3">
      <c r="A18" s="3" t="s">
        <v>28</v>
      </c>
      <c r="B18" s="4" t="s">
        <v>12</v>
      </c>
      <c r="C18" s="5"/>
    </row>
    <row r="19" spans="1:3" s="2" customFormat="1" x14ac:dyDescent="0.3">
      <c r="A19" s="6">
        <v>1</v>
      </c>
      <c r="B19" s="7" t="s">
        <v>13</v>
      </c>
      <c r="C19" s="7"/>
    </row>
    <row r="20" spans="1:3" s="2" customFormat="1" x14ac:dyDescent="0.3">
      <c r="A20" s="6">
        <v>2</v>
      </c>
      <c r="B20" s="7" t="s">
        <v>56</v>
      </c>
      <c r="C20" s="7"/>
    </row>
    <row r="21" spans="1:3" s="2" customFormat="1" x14ac:dyDescent="0.3">
      <c r="A21" s="6">
        <v>3</v>
      </c>
      <c r="B21" s="7" t="s">
        <v>9</v>
      </c>
      <c r="C21" s="7"/>
    </row>
    <row r="22" spans="1:3" s="2" customFormat="1" x14ac:dyDescent="0.3">
      <c r="A22" s="6">
        <v>4</v>
      </c>
      <c r="B22" s="7" t="s">
        <v>7</v>
      </c>
      <c r="C22" s="7"/>
    </row>
    <row r="23" spans="1:3" s="2" customFormat="1" x14ac:dyDescent="0.3">
      <c r="A23" s="6">
        <v>5</v>
      </c>
      <c r="B23" s="7" t="s">
        <v>6</v>
      </c>
      <c r="C23" s="7"/>
    </row>
    <row r="24" spans="1:3" s="2" customFormat="1" x14ac:dyDescent="0.3">
      <c r="A24" s="6">
        <v>6</v>
      </c>
      <c r="B24" s="7" t="s">
        <v>5</v>
      </c>
      <c r="C24" s="7"/>
    </row>
    <row r="25" spans="1:3" s="2" customFormat="1" x14ac:dyDescent="0.3">
      <c r="A25" s="6">
        <v>7</v>
      </c>
      <c r="B25" s="7" t="s">
        <v>14</v>
      </c>
      <c r="C25" s="7">
        <v>47</v>
      </c>
    </row>
    <row r="26" spans="1:3" s="2" customFormat="1" x14ac:dyDescent="0.3">
      <c r="A26" s="6">
        <v>8</v>
      </c>
      <c r="B26" s="7" t="s">
        <v>4</v>
      </c>
      <c r="C26" s="7"/>
    </row>
    <row r="27" spans="1:3" x14ac:dyDescent="0.3">
      <c r="A27" s="3" t="s">
        <v>28</v>
      </c>
      <c r="B27" s="5"/>
      <c r="C27" s="5"/>
    </row>
    <row r="28" spans="1:3" s="2" customFormat="1" ht="23.25" customHeight="1" x14ac:dyDescent="0.3">
      <c r="A28" s="6" t="s">
        <v>28</v>
      </c>
      <c r="B28" s="9" t="s">
        <v>15</v>
      </c>
      <c r="C28" s="7">
        <f>525+394+1575+2920+120+50+210+4</f>
        <v>5798</v>
      </c>
    </row>
    <row r="29" spans="1:3" x14ac:dyDescent="0.3">
      <c r="A29" s="3" t="s">
        <v>28</v>
      </c>
      <c r="B29" s="5"/>
      <c r="C29" s="5"/>
    </row>
    <row r="30" spans="1:3" ht="18" x14ac:dyDescent="0.3">
      <c r="A30" s="3" t="s">
        <v>28</v>
      </c>
      <c r="B30" s="4" t="s">
        <v>16</v>
      </c>
      <c r="C30" s="5"/>
    </row>
    <row r="31" spans="1:3" s="2" customFormat="1" x14ac:dyDescent="0.3">
      <c r="A31" s="6">
        <v>1</v>
      </c>
      <c r="B31" s="7" t="s">
        <v>17</v>
      </c>
      <c r="C31" s="7">
        <f>56+70</f>
        <v>126</v>
      </c>
    </row>
    <row r="32" spans="1:3" s="2" customFormat="1" x14ac:dyDescent="0.3">
      <c r="A32" s="6">
        <v>2</v>
      </c>
      <c r="B32" s="7" t="s">
        <v>18</v>
      </c>
      <c r="C32" s="7">
        <f>4+114</f>
        <v>118</v>
      </c>
    </row>
    <row r="33" spans="1:3" s="2" customFormat="1" x14ac:dyDescent="0.3">
      <c r="A33" s="6">
        <v>3</v>
      </c>
      <c r="B33" s="7" t="s">
        <v>19</v>
      </c>
      <c r="C33" s="7">
        <v>121</v>
      </c>
    </row>
    <row r="34" spans="1:3" x14ac:dyDescent="0.3">
      <c r="A34" s="3" t="s">
        <v>28</v>
      </c>
      <c r="B34" s="5"/>
      <c r="C34" s="5"/>
    </row>
    <row r="35" spans="1:3" ht="18" x14ac:dyDescent="0.3">
      <c r="A35" s="3" t="s">
        <v>28</v>
      </c>
      <c r="B35" s="4" t="s">
        <v>20</v>
      </c>
      <c r="C35" s="5"/>
    </row>
    <row r="36" spans="1:3" s="2" customFormat="1" x14ac:dyDescent="0.3">
      <c r="A36" s="6">
        <v>1</v>
      </c>
      <c r="B36" s="7" t="s">
        <v>21</v>
      </c>
      <c r="C36" s="7"/>
    </row>
    <row r="37" spans="1:3" s="2" customFormat="1" x14ac:dyDescent="0.3">
      <c r="A37" s="6">
        <v>2</v>
      </c>
      <c r="B37" s="7" t="s">
        <v>22</v>
      </c>
      <c r="C37" s="7"/>
    </row>
    <row r="38" spans="1:3" s="2" customFormat="1" x14ac:dyDescent="0.3">
      <c r="A38" s="6">
        <v>3</v>
      </c>
      <c r="B38" s="7" t="s">
        <v>23</v>
      </c>
      <c r="C38" s="7"/>
    </row>
    <row r="39" spans="1:3" s="2" customFormat="1" x14ac:dyDescent="0.3">
      <c r="A39" s="6">
        <v>3</v>
      </c>
      <c r="B39" s="7" t="s">
        <v>6</v>
      </c>
      <c r="C39" s="7"/>
    </row>
    <row r="40" spans="1:3" s="2" customFormat="1" x14ac:dyDescent="0.3">
      <c r="A40" s="6">
        <v>4</v>
      </c>
      <c r="B40" s="7" t="s">
        <v>24</v>
      </c>
      <c r="C40" s="7"/>
    </row>
    <row r="41" spans="1:3" x14ac:dyDescent="0.3">
      <c r="A41" s="5"/>
      <c r="B41" s="5"/>
      <c r="C41" s="5"/>
    </row>
    <row r="42" spans="1:3" ht="18" x14ac:dyDescent="0.3">
      <c r="A42" s="5"/>
      <c r="B42" s="4" t="s">
        <v>25</v>
      </c>
      <c r="C42" s="5"/>
    </row>
    <row r="43" spans="1:3" s="2" customFormat="1" x14ac:dyDescent="0.3">
      <c r="A43" s="6">
        <v>1</v>
      </c>
      <c r="B43" s="7" t="s">
        <v>22</v>
      </c>
      <c r="C43" s="7">
        <v>174</v>
      </c>
    </row>
    <row r="44" spans="1:3" s="2" customFormat="1" x14ac:dyDescent="0.3">
      <c r="A44" s="6">
        <v>2</v>
      </c>
      <c r="B44" s="7" t="s">
        <v>27</v>
      </c>
      <c r="C44" s="7">
        <v>219</v>
      </c>
    </row>
    <row r="45" spans="1:3" x14ac:dyDescent="0.3">
      <c r="A45" s="5"/>
      <c r="B45" s="5"/>
      <c r="C45" s="5"/>
    </row>
    <row r="46" spans="1:3" ht="18" x14ac:dyDescent="0.3">
      <c r="A46" s="5"/>
      <c r="B46" s="4" t="s">
        <v>26</v>
      </c>
      <c r="C46" s="5"/>
    </row>
    <row r="47" spans="1:3" s="2" customFormat="1" x14ac:dyDescent="0.3">
      <c r="A47" s="7">
        <v>1</v>
      </c>
      <c r="B47" s="7" t="s">
        <v>22</v>
      </c>
      <c r="C47" s="7">
        <v>64</v>
      </c>
    </row>
    <row r="48" spans="1:3" s="2" customFormat="1" x14ac:dyDescent="0.3">
      <c r="A48" s="7">
        <v>2</v>
      </c>
      <c r="B48" s="7" t="s">
        <v>27</v>
      </c>
      <c r="C48" s="7">
        <v>89</v>
      </c>
    </row>
    <row r="49" spans="1:3" x14ac:dyDescent="0.3">
      <c r="A49" s="5"/>
      <c r="B49" s="5"/>
      <c r="C49" s="5"/>
    </row>
    <row r="50" spans="1:3" ht="18" x14ac:dyDescent="0.3">
      <c r="A50" s="5"/>
      <c r="B50" s="4" t="s">
        <v>29</v>
      </c>
      <c r="C50" s="5"/>
    </row>
    <row r="51" spans="1:3" s="2" customFormat="1" x14ac:dyDescent="0.3">
      <c r="A51" s="7">
        <v>1</v>
      </c>
      <c r="B51" s="7" t="s">
        <v>9</v>
      </c>
      <c r="C51" s="7">
        <v>449</v>
      </c>
    </row>
    <row r="52" spans="1:3" s="2" customFormat="1" x14ac:dyDescent="0.3">
      <c r="A52" s="7">
        <v>2</v>
      </c>
      <c r="B52" s="7" t="s">
        <v>30</v>
      </c>
      <c r="C52" s="7">
        <f>160+137+144+2</f>
        <v>443</v>
      </c>
    </row>
    <row r="53" spans="1:3" s="2" customFormat="1" x14ac:dyDescent="0.3">
      <c r="A53" s="7">
        <v>3</v>
      </c>
      <c r="B53" s="7" t="s">
        <v>7</v>
      </c>
      <c r="C53" s="7">
        <f>420+63</f>
        <v>483</v>
      </c>
    </row>
    <row r="54" spans="1:3" s="2" customFormat="1" x14ac:dyDescent="0.3">
      <c r="A54" s="7">
        <v>4</v>
      </c>
      <c r="B54" s="7" t="s">
        <v>31</v>
      </c>
      <c r="C54" s="7">
        <f>320+148</f>
        <v>468</v>
      </c>
    </row>
    <row r="55" spans="1:3" s="2" customFormat="1" x14ac:dyDescent="0.3">
      <c r="A55" s="7">
        <v>5</v>
      </c>
      <c r="B55" s="7" t="s">
        <v>6</v>
      </c>
      <c r="C55" s="7">
        <f>242+175+31</f>
        <v>448</v>
      </c>
    </row>
    <row r="56" spans="1:3" x14ac:dyDescent="0.3">
      <c r="A56" s="5"/>
      <c r="B56" s="5"/>
      <c r="C56" s="5"/>
    </row>
    <row r="57" spans="1:3" ht="18" x14ac:dyDescent="0.3">
      <c r="A57" s="5"/>
      <c r="B57" s="4" t="s">
        <v>32</v>
      </c>
      <c r="C57" s="5">
        <f>76+78+65+37+45+57+17+57+2</f>
        <v>434</v>
      </c>
    </row>
    <row r="58" spans="1:3" x14ac:dyDescent="0.3">
      <c r="A58" s="5"/>
      <c r="B58" s="5"/>
      <c r="C58" s="5"/>
    </row>
    <row r="59" spans="1:3" ht="18" x14ac:dyDescent="0.3">
      <c r="A59" s="5"/>
      <c r="B59" s="4" t="s">
        <v>33</v>
      </c>
      <c r="C59" s="5"/>
    </row>
    <row r="60" spans="1:3" s="2" customFormat="1" x14ac:dyDescent="0.3">
      <c r="A60" s="7">
        <v>1</v>
      </c>
      <c r="B60" s="7" t="s">
        <v>13</v>
      </c>
      <c r="C60" s="7">
        <f>416+172+7</f>
        <v>595</v>
      </c>
    </row>
    <row r="61" spans="1:3" s="2" customFormat="1" x14ac:dyDescent="0.3">
      <c r="A61" s="7">
        <v>2</v>
      </c>
      <c r="B61" s="7" t="s">
        <v>6</v>
      </c>
      <c r="C61" s="7">
        <f>416+180</f>
        <v>596</v>
      </c>
    </row>
    <row r="62" spans="1:3" s="2" customFormat="1" x14ac:dyDescent="0.3">
      <c r="A62" s="7">
        <v>3</v>
      </c>
      <c r="B62" s="7" t="s">
        <v>7</v>
      </c>
      <c r="C62" s="7">
        <f>460+30+162+5</f>
        <v>657</v>
      </c>
    </row>
    <row r="63" spans="1:3" s="2" customFormat="1" x14ac:dyDescent="0.3">
      <c r="A63" s="7">
        <v>4</v>
      </c>
      <c r="B63" s="7" t="s">
        <v>34</v>
      </c>
      <c r="C63" s="7">
        <f>624+17</f>
        <v>641</v>
      </c>
    </row>
    <row r="64" spans="1:3" s="2" customFormat="1" x14ac:dyDescent="0.3">
      <c r="A64" s="7">
        <v>5</v>
      </c>
      <c r="B64" s="7" t="s">
        <v>57</v>
      </c>
      <c r="C64" s="7">
        <f>416+204</f>
        <v>620</v>
      </c>
    </row>
    <row r="65" spans="1:3" s="2" customFormat="1" x14ac:dyDescent="0.3">
      <c r="A65" s="7">
        <v>6</v>
      </c>
      <c r="B65" s="7" t="s">
        <v>9</v>
      </c>
      <c r="C65" s="7">
        <f>208+152+94+9+198</f>
        <v>661</v>
      </c>
    </row>
    <row r="66" spans="1:3" x14ac:dyDescent="0.3">
      <c r="A66" s="5"/>
      <c r="B66" s="5"/>
      <c r="C66" s="5"/>
    </row>
    <row r="67" spans="1:3" ht="18" x14ac:dyDescent="0.3">
      <c r="A67" s="5"/>
      <c r="B67" s="4" t="s">
        <v>35</v>
      </c>
      <c r="C67" s="5"/>
    </row>
    <row r="68" spans="1:3" s="2" customFormat="1" x14ac:dyDescent="0.3">
      <c r="A68" s="7">
        <v>1</v>
      </c>
      <c r="B68" s="7" t="s">
        <v>36</v>
      </c>
      <c r="C68" s="7">
        <v>8</v>
      </c>
    </row>
    <row r="69" spans="1:3" s="2" customFormat="1" x14ac:dyDescent="0.3">
      <c r="A69" s="7">
        <v>2</v>
      </c>
      <c r="B69" s="7" t="s">
        <v>37</v>
      </c>
      <c r="C69" s="7">
        <v>1</v>
      </c>
    </row>
    <row r="70" spans="1:3" s="2" customFormat="1" x14ac:dyDescent="0.3">
      <c r="A70" s="7">
        <v>3</v>
      </c>
      <c r="B70" s="7" t="s">
        <v>38</v>
      </c>
      <c r="C70" s="7">
        <v>1</v>
      </c>
    </row>
    <row r="71" spans="1:3" x14ac:dyDescent="0.3">
      <c r="A71" s="5"/>
      <c r="B71" s="5"/>
      <c r="C71" s="5"/>
    </row>
    <row r="72" spans="1:3" ht="18" x14ac:dyDescent="0.3">
      <c r="A72" s="5"/>
      <c r="B72" s="4" t="s">
        <v>43</v>
      </c>
      <c r="C72" s="5"/>
    </row>
    <row r="73" spans="1:3" s="2" customFormat="1" x14ac:dyDescent="0.3">
      <c r="A73" s="7">
        <v>1</v>
      </c>
      <c r="B73" s="7" t="s">
        <v>39</v>
      </c>
      <c r="C73" s="7">
        <f>34+5+8</f>
        <v>47</v>
      </c>
    </row>
    <row r="74" spans="1:3" s="2" customFormat="1" x14ac:dyDescent="0.3">
      <c r="A74" s="7">
        <v>2</v>
      </c>
      <c r="B74" s="7" t="s">
        <v>40</v>
      </c>
      <c r="C74" s="7">
        <f>75+55+13</f>
        <v>143</v>
      </c>
    </row>
    <row r="75" spans="1:3" s="2" customFormat="1" x14ac:dyDescent="0.3">
      <c r="A75" s="7">
        <v>3</v>
      </c>
      <c r="B75" s="7" t="s">
        <v>41</v>
      </c>
      <c r="C75" s="7">
        <f>77+39+3</f>
        <v>119</v>
      </c>
    </row>
    <row r="76" spans="1:3" s="2" customFormat="1" x14ac:dyDescent="0.3">
      <c r="A76" s="7">
        <v>4</v>
      </c>
      <c r="B76" s="7" t="s">
        <v>22</v>
      </c>
      <c r="C76" s="7">
        <f>119+92+11</f>
        <v>222</v>
      </c>
    </row>
    <row r="77" spans="1:3" s="2" customFormat="1" x14ac:dyDescent="0.3">
      <c r="A77" s="7">
        <v>5</v>
      </c>
      <c r="B77" s="7" t="s">
        <v>42</v>
      </c>
      <c r="C77" s="7">
        <f>131+14</f>
        <v>145</v>
      </c>
    </row>
    <row r="78" spans="1:3" x14ac:dyDescent="0.3">
      <c r="A78" s="5"/>
      <c r="B78" s="5"/>
      <c r="C78" s="5"/>
    </row>
    <row r="79" spans="1:3" ht="18" x14ac:dyDescent="0.3">
      <c r="A79" s="5"/>
      <c r="B79" s="4" t="s">
        <v>44</v>
      </c>
      <c r="C79" s="5"/>
    </row>
    <row r="80" spans="1:3" s="2" customFormat="1" x14ac:dyDescent="0.3">
      <c r="A80" s="7">
        <v>1</v>
      </c>
      <c r="B80" s="7" t="s">
        <v>39</v>
      </c>
      <c r="C80" s="7">
        <f>193+432+102+5</f>
        <v>732</v>
      </c>
    </row>
    <row r="81" spans="1:3" s="2" customFormat="1" x14ac:dyDescent="0.3">
      <c r="A81" s="7">
        <v>2</v>
      </c>
      <c r="B81" s="7" t="s">
        <v>40</v>
      </c>
      <c r="C81" s="7">
        <f>128+336+56+6</f>
        <v>526</v>
      </c>
    </row>
    <row r="82" spans="1:3" s="2" customFormat="1" x14ac:dyDescent="0.3">
      <c r="A82" s="7">
        <v>3</v>
      </c>
      <c r="B82" s="7" t="s">
        <v>41</v>
      </c>
      <c r="C82" s="7">
        <f>328+122+6</f>
        <v>456</v>
      </c>
    </row>
    <row r="83" spans="1:3" s="2" customFormat="1" x14ac:dyDescent="0.3">
      <c r="A83" s="7">
        <v>4</v>
      </c>
      <c r="B83" s="7" t="s">
        <v>22</v>
      </c>
      <c r="C83" s="7">
        <f>112+69+11</f>
        <v>192</v>
      </c>
    </row>
    <row r="84" spans="1:3" s="2" customFormat="1" x14ac:dyDescent="0.3">
      <c r="A84" s="7">
        <v>5</v>
      </c>
      <c r="B84" s="7" t="s">
        <v>42</v>
      </c>
      <c r="C84" s="7">
        <f>578+9</f>
        <v>587</v>
      </c>
    </row>
    <row r="85" spans="1:3" x14ac:dyDescent="0.3">
      <c r="A85" s="5"/>
      <c r="B85" s="5"/>
      <c r="C85" s="5"/>
    </row>
    <row r="86" spans="1:3" ht="18" x14ac:dyDescent="0.3">
      <c r="A86" s="5"/>
      <c r="B86" s="4" t="s">
        <v>45</v>
      </c>
      <c r="C86" s="5">
        <f>65+36+7</f>
        <v>108</v>
      </c>
    </row>
    <row r="87" spans="1:3" x14ac:dyDescent="0.3">
      <c r="A87" s="5"/>
      <c r="B87" s="5"/>
      <c r="C87" s="5"/>
    </row>
    <row r="88" spans="1:3" ht="18" x14ac:dyDescent="0.3">
      <c r="A88" s="5"/>
      <c r="B88" s="4" t="s">
        <v>48</v>
      </c>
      <c r="C88" s="5"/>
    </row>
    <row r="89" spans="1:3" s="2" customFormat="1" x14ac:dyDescent="0.3">
      <c r="A89" s="7">
        <v>1</v>
      </c>
      <c r="B89" s="7" t="s">
        <v>46</v>
      </c>
      <c r="C89" s="7">
        <f>27+53</f>
        <v>80</v>
      </c>
    </row>
    <row r="90" spans="1:3" s="2" customFormat="1" x14ac:dyDescent="0.3">
      <c r="A90" s="7">
        <v>2</v>
      </c>
      <c r="B90" s="7" t="s">
        <v>47</v>
      </c>
      <c r="C90" s="7"/>
    </row>
    <row r="91" spans="1:3" s="2" customFormat="1" x14ac:dyDescent="0.3">
      <c r="A91" s="7">
        <v>3</v>
      </c>
      <c r="B91" s="8" t="s">
        <v>49</v>
      </c>
      <c r="C91" s="7">
        <f>360+139</f>
        <v>499</v>
      </c>
    </row>
    <row r="92" spans="1:3" s="2" customFormat="1" x14ac:dyDescent="0.3">
      <c r="A92" s="7"/>
      <c r="B92" s="8" t="s">
        <v>58</v>
      </c>
      <c r="C92" s="7">
        <f>360+65</f>
        <v>425</v>
      </c>
    </row>
    <row r="93" spans="1:3" s="2" customFormat="1" x14ac:dyDescent="0.3">
      <c r="A93" s="7">
        <v>1</v>
      </c>
      <c r="B93" s="7" t="s">
        <v>50</v>
      </c>
      <c r="C93" s="7">
        <f>71+89+84+6+2</f>
        <v>252</v>
      </c>
    </row>
    <row r="94" spans="1:3" s="2" customFormat="1" x14ac:dyDescent="0.3">
      <c r="A94" s="7">
        <v>2</v>
      </c>
      <c r="B94" s="7" t="s">
        <v>51</v>
      </c>
      <c r="C94" s="7">
        <f>43+101+91+2</f>
        <v>237</v>
      </c>
    </row>
    <row r="95" spans="1:3" x14ac:dyDescent="0.3">
      <c r="A95" s="5"/>
      <c r="B95" s="5"/>
      <c r="C95" s="5"/>
    </row>
    <row r="96" spans="1:3" ht="18" x14ac:dyDescent="0.3">
      <c r="A96" s="5"/>
      <c r="B96" s="4" t="s">
        <v>52</v>
      </c>
      <c r="C96" s="5"/>
    </row>
    <row r="97" spans="1:3" s="2" customFormat="1" x14ac:dyDescent="0.3">
      <c r="A97" s="7">
        <v>1</v>
      </c>
      <c r="B97" s="7" t="s">
        <v>8</v>
      </c>
      <c r="C97" s="7">
        <v>9</v>
      </c>
    </row>
    <row r="98" spans="1:3" s="2" customFormat="1" x14ac:dyDescent="0.3">
      <c r="A98" s="7">
        <v>2</v>
      </c>
      <c r="B98" s="7" t="s">
        <v>53</v>
      </c>
      <c r="C98" s="7">
        <v>1</v>
      </c>
    </row>
    <row r="99" spans="1:3" s="2" customFormat="1" x14ac:dyDescent="0.3">
      <c r="A99" s="7">
        <v>3</v>
      </c>
      <c r="B99" s="7" t="s">
        <v>18</v>
      </c>
      <c r="C99" s="7">
        <f>48+80+14</f>
        <v>142</v>
      </c>
    </row>
    <row r="100" spans="1:3" x14ac:dyDescent="0.3">
      <c r="A100" s="5"/>
      <c r="B100" s="5"/>
      <c r="C100" s="5"/>
    </row>
    <row r="101" spans="1:3" ht="18" x14ac:dyDescent="0.3">
      <c r="A101" s="5"/>
      <c r="B101" s="4" t="s">
        <v>54</v>
      </c>
      <c r="C101" s="5"/>
    </row>
    <row r="102" spans="1:3" s="2" customFormat="1" x14ac:dyDescent="0.3">
      <c r="A102" s="7">
        <v>1</v>
      </c>
      <c r="B102" s="7" t="s">
        <v>8</v>
      </c>
      <c r="C102" s="7">
        <f>36+10</f>
        <v>46</v>
      </c>
    </row>
    <row r="103" spans="1:3" s="2" customFormat="1" x14ac:dyDescent="0.3">
      <c r="A103" s="7">
        <v>2</v>
      </c>
      <c r="B103" s="7" t="s">
        <v>53</v>
      </c>
      <c r="C103" s="7">
        <v>8</v>
      </c>
    </row>
    <row r="104" spans="1:3" s="2" customFormat="1" x14ac:dyDescent="0.3">
      <c r="A104" s="7">
        <v>3</v>
      </c>
      <c r="B104" s="7" t="s">
        <v>18</v>
      </c>
      <c r="C104" s="7">
        <v>45</v>
      </c>
    </row>
    <row r="105" spans="1:3" x14ac:dyDescent="0.3">
      <c r="A105" s="5"/>
      <c r="B105" s="5"/>
      <c r="C105" s="5"/>
    </row>
    <row r="106" spans="1:3" ht="18" x14ac:dyDescent="0.3">
      <c r="A106" s="5"/>
      <c r="B106" s="4" t="s">
        <v>55</v>
      </c>
      <c r="C106" s="5">
        <f>25+16+3</f>
        <v>44</v>
      </c>
    </row>
    <row r="107" spans="1:3" s="2" customFormat="1" x14ac:dyDescent="0.3">
      <c r="A107" s="7"/>
      <c r="B107" s="7"/>
      <c r="C107" s="7"/>
    </row>
    <row r="108" spans="1:3" s="2" customFormat="1" ht="18" x14ac:dyDescent="0.3">
      <c r="A108" s="7"/>
      <c r="B108" s="4" t="s">
        <v>59</v>
      </c>
      <c r="C108" s="7"/>
    </row>
    <row r="109" spans="1:3" s="2" customFormat="1" x14ac:dyDescent="0.3">
      <c r="A109" s="7"/>
      <c r="B109" s="7" t="s">
        <v>60</v>
      </c>
      <c r="C109" s="7">
        <f>27+7</f>
        <v>34</v>
      </c>
    </row>
    <row r="110" spans="1:3" s="2" customFormat="1" x14ac:dyDescent="0.3">
      <c r="A110" s="7"/>
      <c r="B110" s="7" t="s">
        <v>61</v>
      </c>
      <c r="C110" s="7">
        <f>15+5</f>
        <v>20</v>
      </c>
    </row>
    <row r="111" spans="1:3" s="2" customFormat="1" x14ac:dyDescent="0.3">
      <c r="A111" s="7"/>
      <c r="B111" s="7" t="s">
        <v>62</v>
      </c>
      <c r="C111" s="7">
        <v>33</v>
      </c>
    </row>
    <row r="112" spans="1:3" s="2" customFormat="1" x14ac:dyDescent="0.3">
      <c r="A112" s="7"/>
      <c r="B112" s="7"/>
      <c r="C112" s="7"/>
    </row>
    <row r="113" spans="1:3" s="2" customFormat="1" ht="18" x14ac:dyDescent="0.3">
      <c r="A113" s="7"/>
      <c r="B113" s="4" t="s">
        <v>68</v>
      </c>
      <c r="C113" s="7"/>
    </row>
    <row r="114" spans="1:3" s="2" customFormat="1" x14ac:dyDescent="0.3">
      <c r="A114" s="7"/>
      <c r="B114" s="7" t="s">
        <v>39</v>
      </c>
      <c r="C114" s="7">
        <f>13+4</f>
        <v>17</v>
      </c>
    </row>
    <row r="115" spans="1:3" s="2" customFormat="1" x14ac:dyDescent="0.3">
      <c r="A115" s="7"/>
      <c r="B115" s="7" t="s">
        <v>21</v>
      </c>
      <c r="C115" s="7">
        <v>6</v>
      </c>
    </row>
    <row r="116" spans="1:3" s="2" customFormat="1" x14ac:dyDescent="0.3">
      <c r="A116" s="7"/>
      <c r="B116" s="7" t="s">
        <v>69</v>
      </c>
      <c r="C116" s="7">
        <f>9+5</f>
        <v>14</v>
      </c>
    </row>
    <row r="117" spans="1:3" s="2" customFormat="1" ht="18" x14ac:dyDescent="0.3">
      <c r="A117" s="7"/>
      <c r="B117" s="4" t="s">
        <v>63</v>
      </c>
      <c r="C117" s="7"/>
    </row>
    <row r="118" spans="1:3" x14ac:dyDescent="0.3">
      <c r="B118" s="10" t="s">
        <v>21</v>
      </c>
      <c r="C118">
        <f>14+1+1+10</f>
        <v>26</v>
      </c>
    </row>
    <row r="119" spans="1:3" x14ac:dyDescent="0.3">
      <c r="B119" s="10" t="s">
        <v>69</v>
      </c>
      <c r="C119">
        <v>14</v>
      </c>
    </row>
    <row r="120" spans="1:3" x14ac:dyDescent="0.3">
      <c r="B120" s="10" t="s">
        <v>39</v>
      </c>
      <c r="C120">
        <v>5</v>
      </c>
    </row>
    <row r="121" spans="1:3" x14ac:dyDescent="0.3">
      <c r="B121" s="10"/>
    </row>
    <row r="122" spans="1:3" x14ac:dyDescent="0.3">
      <c r="B122" s="10" t="s">
        <v>64</v>
      </c>
      <c r="C122">
        <f>48+16</f>
        <v>64</v>
      </c>
    </row>
    <row r="123" spans="1:3" x14ac:dyDescent="0.3">
      <c r="B123" s="10" t="s">
        <v>66</v>
      </c>
    </row>
    <row r="124" spans="1:3" x14ac:dyDescent="0.3">
      <c r="B124" s="10" t="s">
        <v>67</v>
      </c>
      <c r="C124">
        <f>52+16</f>
        <v>68</v>
      </c>
    </row>
    <row r="125" spans="1:3" x14ac:dyDescent="0.3">
      <c r="B125" s="10" t="s">
        <v>65</v>
      </c>
      <c r="C125">
        <v>1</v>
      </c>
    </row>
    <row r="127" spans="1:3" x14ac:dyDescent="0.3">
      <c r="B127" s="11" t="s">
        <v>70</v>
      </c>
      <c r="C127">
        <v>2</v>
      </c>
    </row>
  </sheetData>
  <pageMargins left="0.7" right="0.7" top="0.66" bottom="0.69" header="0.3" footer="0.5500000000000000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jha ritesh</cp:lastModifiedBy>
  <cp:lastPrinted>2026-06-11T06:24:42Z</cp:lastPrinted>
  <dcterms:created xsi:type="dcterms:W3CDTF">2015-06-05T18:17:20Z</dcterms:created>
  <dcterms:modified xsi:type="dcterms:W3CDTF">2026-06-24T07:41:42Z</dcterms:modified>
</cp:coreProperties>
</file>